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meline" sheetId="1" state="visible" r:id="rId3"/>
    <sheet name="Feature Detail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<sst xmlns="http://schemas.openxmlformats.org/spreadsheetml/2006/main" count="69" uniqueCount="56">
  <si>
    <t xml:space="preserve">Access (E-Warrior) — Backend Build Timeline (Internal Working Plan)</t>
  </si>
  <si>
    <t xml:space="preserve">Target: working system by 30 September 2026 — 12 working days. Aggressive internal target, well ahead of the committed date.</t>
  </si>
  <si>
    <t xml:space="preserve">Phase</t>
  </si>
  <si>
    <t xml:space="preserve">Feature</t>
  </si>
  <si>
    <t xml:space="preserve">Start</t>
  </si>
  <si>
    <t xml:space="preserve">End</t>
  </si>
  <si>
    <t xml:space="preserve">Working Days</t>
  </si>
  <si>
    <t xml:space="preserve">Week 1 — Foundation &amp; Accounts</t>
  </si>
  <si>
    <t xml:space="preserve">Project setup &amp; database schema</t>
  </si>
  <si>
    <t xml:space="preserve">Security foundation (JWT, request filter)</t>
  </si>
  <si>
    <t xml:space="preserve">Authentication (development mode)</t>
  </si>
  <si>
    <t xml:space="preserve">Collaborator account management</t>
  </si>
  <si>
    <t xml:space="preserve">Week 2 — Cards &amp; Products</t>
  </si>
  <si>
    <t xml:space="preserve">Business card module</t>
  </si>
  <si>
    <t xml:space="preserve">QR code module &amp; public card page</t>
  </si>
  <si>
    <t xml:space="preserve">Product catalogue &amp; PDF documents</t>
  </si>
  <si>
    <t xml:space="preserve">Week 3 — Finish &amp; Verify</t>
  </si>
  <si>
    <t xml:space="preserve">Approval workflow</t>
  </si>
  <si>
    <t xml:space="preserve">Share Products (booklet)</t>
  </si>
  <si>
    <t xml:space="preserve">Audit trail wiring</t>
  </si>
  <si>
    <t xml:space="preserve">Manual smoke testing &amp; fixes</t>
  </si>
  <si>
    <t xml:space="preserve">Project start</t>
  </si>
  <si>
    <t xml:space="preserve">Project finish</t>
  </si>
  <si>
    <t xml:space="preserve">Total working days (elapsed)</t>
  </si>
  <si>
    <t xml:space="preserve">Assumptions</t>
  </si>
  <si>
    <t xml:space="preserve">• Internal stretch target only. The committed delivery date is 27 October 2026 — see the PMO timeline. Do not treat this sheet as a commitment.</t>
  </si>
  <si>
    <t xml:space="preserve">• Assumes one developer full-time with no competing work, and no blocking questions mid-build.</t>
  </si>
  <si>
    <t xml:space="preserve">• Excludes Active Directory integration, automated testing, security review and deployment — those sit in the committed plan.</t>
  </si>
  <si>
    <t xml:space="preserve">• Login runs on development-mode test accounts during this period.</t>
  </si>
  <si>
    <t xml:space="preserve">• Dates entered manually; Working Days is calculated and excludes weekends. No weekend work assumed.</t>
  </si>
  <si>
    <t xml:space="preserve">• 30 September carries three small items at once — it is the tightest day in the plan and the first place to slip if anything runs long.</t>
  </si>
  <si>
    <t xml:space="preserve">Feature Explanations</t>
  </si>
  <si>
    <t xml:space="preserve">What each item on the Timeline sheet actually covers.</t>
  </si>
  <si>
    <t xml:space="preserve">What it includes</t>
  </si>
  <si>
    <t xml:space="preserve">Depends on</t>
  </si>
  <si>
    <t xml:space="preserve">Create the Spring Boot project and build the three database tables: Collaborator, Product and Booklet, plus the audit log and token tables. Includes the migration scripts that create them automatically on first run.</t>
  </si>
  <si>
    <t xml:space="preserve">None — this is the starting point.</t>
  </si>
  <si>
    <t xml:space="preserve">The login token system. Issues a signed token when someone logs in, checks it on every following request, and supports logout by revoking the token. Also sets up the two admin levels (collaborator admin and product admin).</t>
  </si>
  <si>
    <t xml:space="preserve">Database schema.</t>
  </si>
  <si>
    <t xml:space="preserve">Login using local test accounts so every other feature can be built and tested before Active Directory access is granted. Designed so that switching to Active Directory later changes one component and nothing else.</t>
  </si>
  <si>
    <t xml:space="preserve">Security foundation.</t>
  </si>
  <si>
    <t xml:space="preserve">Everything admins do with accounts: search the directory for a person, create their record, edit their details, grant or revoke admin rights, deactivate leavers, and re-link an account if IT rebuilds it. Includes the profile screen data each collaborator sees about themselves.</t>
  </si>
  <si>
    <t xml:space="preserve">Authentication.</t>
  </si>
  <si>
    <t xml:space="preserve">Storing and serving the digital business card. The app renders the card visually and sends the image; the backend saves it and serves it back on request. Includes automatically clearing a card when someone's name, role or department changes, so it gets re-rendered with correct details.</t>
  </si>
  <si>
    <t xml:space="preserve">Collaborator account management.</t>
  </si>
  <si>
    <t xml:space="preserve">Generates each collaborator's QR code and the public web page that opens when someone scans it. The page works without login and from outside the bank network, shows the card, and counts scans. Deactivated collaborators' cards stop resolving.</t>
  </si>
  <si>
    <t xml:space="preserve">Business card module.</t>
  </si>
  <si>
    <t xml:space="preserve">The bank product catalogue: create, edit, list and retire products, grouped by category. Each product carries one PDF document that collaborators can open and share.</t>
  </si>
  <si>
    <t xml:space="preserve">The review step before a product becomes visible. A collaborator submits a product; a product admin — who cannot be the same person — approves or rejects it. Only approved products appear to collaborators.</t>
  </si>
  <si>
    <t xml:space="preserve">Product catalogue.</t>
  </si>
  <si>
    <t xml:space="preserve">The Share Products button beneath Share QR Code. Stores a single rendered image of the current approved product list and serves it to any collaborator who wants to share it.</t>
  </si>
  <si>
    <t xml:space="preserve">Approval workflow.</t>
  </si>
  <si>
    <t xml:space="preserve">Records who did what and when — account creation, admin rights changes, deactivations, and every product approval or rejection. Append-only: entries cannot be edited or deleted.</t>
  </si>
  <si>
    <t xml:space="preserve">All features that change data.</t>
  </si>
  <si>
    <t xml:space="preserve">Walking through every screen and endpoint by hand to confirm the whole flow works end to end, and fixing what surfaces. This is not a substitute for automated testing.</t>
  </si>
  <si>
    <t xml:space="preserve">All features complete.</t>
  </si>
</sst>
</file>

<file path=xl/styles.xml><?xml version="1.0" encoding="utf-8"?>
<styleSheet xmlns="http://schemas.openxmlformats.org/spreadsheetml/2006/main">
  <numFmts count="3">
    <numFmt numFmtId="164" formatCode="General"/>
    <numFmt numFmtId="165" formatCode="dd\-mmm\-yyyy"/>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1"/>
      <color rgb="FFFFFFFF"/>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5" fontId="8" fillId="3" borderId="1" xfId="0" applyFont="true" applyBorder="true" applyAlignment="true" applyProtection="false">
      <alignment horizontal="general" vertical="top" textRotation="0" wrapText="false" indent="0" shrinkToFit="false"/>
      <protection locked="true" hidden="false"/>
    </xf>
    <xf numFmtId="166" fontId="8"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5" min="3" style="0" width="14"/>
  </cols>
  <sheetData>
    <row r="1" customFormat="false" ht="17.35"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5" t="s">
        <v>8</v>
      </c>
      <c r="C5" s="6" t="n">
        <v>46280</v>
      </c>
      <c r="D5" s="6" t="n">
        <v>46280</v>
      </c>
      <c r="E5" s="7" t="n">
        <f aca="false">NETWORKDAYS(C5,D5)</f>
        <v>1</v>
      </c>
    </row>
    <row r="6" customFormat="false" ht="15" hidden="false" customHeight="false" outlineLevel="0" collapsed="false">
      <c r="A6" s="8"/>
      <c r="B6" s="9" t="s">
        <v>9</v>
      </c>
      <c r="C6" s="10" t="n">
        <v>46281</v>
      </c>
      <c r="D6" s="10" t="n">
        <v>46281</v>
      </c>
      <c r="E6" s="11" t="n">
        <f aca="false">NETWORKDAYS(C6,D6)</f>
        <v>1</v>
      </c>
    </row>
    <row r="7" customFormat="false" ht="15" hidden="false" customHeight="false" outlineLevel="0" collapsed="false">
      <c r="A7" s="8"/>
      <c r="B7" s="9" t="s">
        <v>10</v>
      </c>
      <c r="C7" s="10" t="n">
        <v>46282</v>
      </c>
      <c r="D7" s="10" t="n">
        <v>46282</v>
      </c>
      <c r="E7" s="11" t="n">
        <f aca="false">NETWORKDAYS(C7,D7)</f>
        <v>1</v>
      </c>
    </row>
    <row r="8" customFormat="false" ht="15" hidden="false" customHeight="false" outlineLevel="0" collapsed="false">
      <c r="A8" s="8"/>
      <c r="B8" s="9" t="s">
        <v>11</v>
      </c>
      <c r="C8" s="10" t="n">
        <v>46283</v>
      </c>
      <c r="D8" s="10" t="n">
        <v>46286</v>
      </c>
      <c r="E8" s="11" t="n">
        <f aca="false">NETWORKDAYS(C8,D8)</f>
        <v>2</v>
      </c>
    </row>
    <row r="9" customFormat="false" ht="15" hidden="false" customHeight="false" outlineLevel="0" collapsed="false">
      <c r="A9" s="4" t="s">
        <v>12</v>
      </c>
      <c r="B9" s="5" t="s">
        <v>13</v>
      </c>
      <c r="C9" s="6" t="n">
        <v>46287</v>
      </c>
      <c r="D9" s="6" t="n">
        <v>46288</v>
      </c>
      <c r="E9" s="7" t="n">
        <f aca="false">NETWORKDAYS(C9,D9)</f>
        <v>2</v>
      </c>
    </row>
    <row r="10" customFormat="false" ht="15" hidden="false" customHeight="false" outlineLevel="0" collapsed="false">
      <c r="A10" s="8"/>
      <c r="B10" s="9" t="s">
        <v>14</v>
      </c>
      <c r="C10" s="10" t="n">
        <v>46289</v>
      </c>
      <c r="D10" s="10" t="n">
        <v>46289</v>
      </c>
      <c r="E10" s="11" t="n">
        <f aca="false">NETWORKDAYS(C10,D10)</f>
        <v>1</v>
      </c>
    </row>
    <row r="11" customFormat="false" ht="15" hidden="false" customHeight="false" outlineLevel="0" collapsed="false">
      <c r="A11" s="8"/>
      <c r="B11" s="9" t="s">
        <v>15</v>
      </c>
      <c r="C11" s="10" t="n">
        <v>46290</v>
      </c>
      <c r="D11" s="10" t="n">
        <v>46293</v>
      </c>
      <c r="E11" s="11" t="n">
        <f aca="false">NETWORKDAYS(C11,D11)</f>
        <v>2</v>
      </c>
    </row>
    <row r="12" customFormat="false" ht="15" hidden="false" customHeight="false" outlineLevel="0" collapsed="false">
      <c r="A12" s="4" t="s">
        <v>16</v>
      </c>
      <c r="B12" s="5" t="s">
        <v>17</v>
      </c>
      <c r="C12" s="6" t="n">
        <v>46294</v>
      </c>
      <c r="D12" s="6" t="n">
        <v>46294</v>
      </c>
      <c r="E12" s="7" t="n">
        <f aca="false">NETWORKDAYS(C12,D12)</f>
        <v>1</v>
      </c>
    </row>
    <row r="13" customFormat="false" ht="15" hidden="false" customHeight="false" outlineLevel="0" collapsed="false">
      <c r="A13" s="8"/>
      <c r="B13" s="9" t="s">
        <v>18</v>
      </c>
      <c r="C13" s="10" t="n">
        <v>46295</v>
      </c>
      <c r="D13" s="10" t="n">
        <v>46295</v>
      </c>
      <c r="E13" s="11" t="n">
        <f aca="false">NETWORKDAYS(C13,D13)</f>
        <v>1</v>
      </c>
    </row>
    <row r="14" customFormat="false" ht="15" hidden="false" customHeight="false" outlineLevel="0" collapsed="false">
      <c r="A14" s="8"/>
      <c r="B14" s="9" t="s">
        <v>19</v>
      </c>
      <c r="C14" s="10" t="n">
        <v>46295</v>
      </c>
      <c r="D14" s="10" t="n">
        <v>46295</v>
      </c>
      <c r="E14" s="11" t="n">
        <f aca="false">NETWORKDAYS(C14,D14)</f>
        <v>1</v>
      </c>
    </row>
    <row r="15" customFormat="false" ht="15" hidden="false" customHeight="false" outlineLevel="0" collapsed="false">
      <c r="A15" s="8"/>
      <c r="B15" s="9" t="s">
        <v>20</v>
      </c>
      <c r="C15" s="10" t="n">
        <v>46295</v>
      </c>
      <c r="D15" s="10" t="n">
        <v>46295</v>
      </c>
      <c r="E15" s="11" t="n">
        <f aca="false">NETWORKDAYS(C15,D15)</f>
        <v>1</v>
      </c>
    </row>
    <row r="17" customFormat="false" ht="15" hidden="false" customHeight="false" outlineLevel="0" collapsed="false">
      <c r="B17" s="12" t="s">
        <v>21</v>
      </c>
      <c r="C17" s="13" t="n">
        <f aca="false">MIN(C5:C15)</f>
        <v>46280</v>
      </c>
    </row>
    <row r="18" customFormat="false" ht="15" hidden="false" customHeight="false" outlineLevel="0" collapsed="false">
      <c r="B18" s="12" t="s">
        <v>22</v>
      </c>
      <c r="C18" s="13" t="n">
        <f aca="false">MAX(D5:D15)</f>
        <v>46295</v>
      </c>
    </row>
    <row r="19" customFormat="false" ht="15" hidden="false" customHeight="false" outlineLevel="0" collapsed="false">
      <c r="B19" s="12" t="s">
        <v>23</v>
      </c>
      <c r="C19" s="14" t="n">
        <f aca="false">NETWORKDAYS(MIN(C5:C15),MAX(D5:D15))</f>
        <v>12</v>
      </c>
    </row>
    <row r="21" customFormat="false" ht="15" hidden="false" customHeight="false" outlineLevel="0" collapsed="false">
      <c r="A21" s="12" t="s">
        <v>24</v>
      </c>
    </row>
    <row r="22" customFormat="false" ht="27.75" hidden="false" customHeight="true" outlineLevel="0" collapsed="false">
      <c r="A22" s="15" t="s">
        <v>25</v>
      </c>
      <c r="B22" s="15"/>
      <c r="C22" s="15"/>
      <c r="D22" s="15"/>
      <c r="E22" s="15"/>
    </row>
    <row r="23" customFormat="false" ht="27.75" hidden="false" customHeight="true" outlineLevel="0" collapsed="false">
      <c r="A23" s="15" t="s">
        <v>26</v>
      </c>
      <c r="B23" s="15"/>
      <c r="C23" s="15"/>
      <c r="D23" s="15"/>
      <c r="E23" s="15"/>
    </row>
    <row r="24" customFormat="false" ht="27.75" hidden="false" customHeight="true" outlineLevel="0" collapsed="false">
      <c r="A24" s="15" t="s">
        <v>27</v>
      </c>
      <c r="B24" s="15"/>
      <c r="C24" s="15"/>
      <c r="D24" s="15"/>
      <c r="E24" s="15"/>
    </row>
    <row r="25" customFormat="false" ht="27.75" hidden="false" customHeight="true" outlineLevel="0" collapsed="false">
      <c r="A25" s="15" t="s">
        <v>28</v>
      </c>
      <c r="B25" s="15"/>
      <c r="C25" s="15"/>
      <c r="D25" s="15"/>
      <c r="E25" s="15"/>
    </row>
    <row r="26" customFormat="false" ht="27.75" hidden="false" customHeight="true" outlineLevel="0" collapsed="false">
      <c r="A26" s="15" t="s">
        <v>29</v>
      </c>
      <c r="B26" s="15"/>
      <c r="C26" s="15"/>
      <c r="D26" s="15"/>
      <c r="E26" s="15"/>
    </row>
    <row r="27" customFormat="false" ht="27.75" hidden="false" customHeight="true" outlineLevel="0" collapsed="false">
      <c r="A27" s="15" t="s">
        <v>30</v>
      </c>
      <c r="B27" s="15"/>
      <c r="C27" s="15"/>
      <c r="D27" s="15"/>
      <c r="E27" s="15"/>
    </row>
  </sheetData>
  <mergeCells count="8">
    <mergeCell ref="A1:E1"/>
    <mergeCell ref="A2:E2"/>
    <mergeCell ref="A22:E22"/>
    <mergeCell ref="A23:E23"/>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8"/>
    <col collapsed="false" customWidth="true" hidden="false" outlineLevel="0" max="3" min="3" style="0" width="34"/>
  </cols>
  <sheetData>
    <row r="1" customFormat="false" ht="17.35" hidden="false" customHeight="false" outlineLevel="0" collapsed="false">
      <c r="A1" s="1" t="s">
        <v>31</v>
      </c>
      <c r="B1" s="1"/>
      <c r="C1" s="1"/>
    </row>
    <row r="2" customFormat="false" ht="15" hidden="false" customHeight="false" outlineLevel="0" collapsed="false">
      <c r="A2" s="2" t="s">
        <v>32</v>
      </c>
      <c r="B2" s="2"/>
      <c r="C2" s="2"/>
    </row>
    <row r="4" customFormat="false" ht="15" hidden="false" customHeight="false" outlineLevel="0" collapsed="false">
      <c r="A4" s="3" t="s">
        <v>3</v>
      </c>
      <c r="B4" s="3" t="s">
        <v>33</v>
      </c>
      <c r="C4" s="3" t="s">
        <v>34</v>
      </c>
    </row>
    <row r="5" customFormat="false" ht="60" hidden="false" customHeight="true" outlineLevel="0" collapsed="false">
      <c r="A5" s="16" t="s">
        <v>8</v>
      </c>
      <c r="B5" s="17" t="s">
        <v>35</v>
      </c>
      <c r="C5" s="17" t="s">
        <v>36</v>
      </c>
    </row>
    <row r="6" customFormat="false" ht="60" hidden="false" customHeight="true" outlineLevel="0" collapsed="false">
      <c r="A6" s="16" t="s">
        <v>9</v>
      </c>
      <c r="B6" s="17" t="s">
        <v>37</v>
      </c>
      <c r="C6" s="17" t="s">
        <v>38</v>
      </c>
    </row>
    <row r="7" customFormat="false" ht="60" hidden="false" customHeight="true" outlineLevel="0" collapsed="false">
      <c r="A7" s="16" t="s">
        <v>10</v>
      </c>
      <c r="B7" s="17" t="s">
        <v>39</v>
      </c>
      <c r="C7" s="17" t="s">
        <v>40</v>
      </c>
    </row>
    <row r="8" customFormat="false" ht="60" hidden="false" customHeight="true" outlineLevel="0" collapsed="false">
      <c r="A8" s="16" t="s">
        <v>11</v>
      </c>
      <c r="B8" s="17" t="s">
        <v>41</v>
      </c>
      <c r="C8" s="17" t="s">
        <v>42</v>
      </c>
    </row>
    <row r="9" customFormat="false" ht="60" hidden="false" customHeight="true" outlineLevel="0" collapsed="false">
      <c r="A9" s="16" t="s">
        <v>13</v>
      </c>
      <c r="B9" s="17" t="s">
        <v>43</v>
      </c>
      <c r="C9" s="17" t="s">
        <v>44</v>
      </c>
    </row>
    <row r="10" customFormat="false" ht="60" hidden="false" customHeight="true" outlineLevel="0" collapsed="false">
      <c r="A10" s="16" t="s">
        <v>14</v>
      </c>
      <c r="B10" s="17" t="s">
        <v>45</v>
      </c>
      <c r="C10" s="17" t="s">
        <v>46</v>
      </c>
    </row>
    <row r="11" customFormat="false" ht="60" hidden="false" customHeight="true" outlineLevel="0" collapsed="false">
      <c r="A11" s="16" t="s">
        <v>15</v>
      </c>
      <c r="B11" s="17" t="s">
        <v>47</v>
      </c>
      <c r="C11" s="17" t="s">
        <v>44</v>
      </c>
    </row>
    <row r="12" customFormat="false" ht="60" hidden="false" customHeight="true" outlineLevel="0" collapsed="false">
      <c r="A12" s="16" t="s">
        <v>17</v>
      </c>
      <c r="B12" s="17" t="s">
        <v>48</v>
      </c>
      <c r="C12" s="17" t="s">
        <v>49</v>
      </c>
    </row>
    <row r="13" customFormat="false" ht="60" hidden="false" customHeight="true" outlineLevel="0" collapsed="false">
      <c r="A13" s="16" t="s">
        <v>18</v>
      </c>
      <c r="B13" s="17" t="s">
        <v>50</v>
      </c>
      <c r="C13" s="17" t="s">
        <v>51</v>
      </c>
    </row>
    <row r="14" customFormat="false" ht="60" hidden="false" customHeight="true" outlineLevel="0" collapsed="false">
      <c r="A14" s="16" t="s">
        <v>19</v>
      </c>
      <c r="B14" s="17" t="s">
        <v>52</v>
      </c>
      <c r="C14" s="17" t="s">
        <v>53</v>
      </c>
    </row>
    <row r="15" customFormat="false" ht="60" hidden="false" customHeight="true" outlineLevel="0" collapsed="false">
      <c r="A15" s="16" t="s">
        <v>20</v>
      </c>
      <c r="B15" s="17" t="s">
        <v>54</v>
      </c>
      <c r="C15" s="17" t="s">
        <v>55</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2026-09-15T16:51:01Z</dcterms:created>
  <dc:creator>openpyxl</dc:creator>
  <dc:description/>
  <dc:language>en-US</dc:language>
  <cp:lastModifiedBy/>
  <dcterms:modified xsi:type="dcterms:W3CDTF">2026-09-15T16:51:01Z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