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meline" sheetId="1" state="visible" r:id="rId3"/>
    <sheet name="Feature Detail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<sst xmlns="http://schemas.openxmlformats.org/spreadsheetml/2006/main" count="84" uniqueCount="67">
  <si>
    <t xml:space="preserve">Access (E-Warrior) — Backend Delivery Timeline</t>
  </si>
  <si>
    <t xml:space="preserve">Committed delivery: 27 October 2026. Prepared for PMO.</t>
  </si>
  <si>
    <t xml:space="preserve">Phase</t>
  </si>
  <si>
    <t xml:space="preserve">Feature</t>
  </si>
  <si>
    <t xml:space="preserve">Start</t>
  </si>
  <si>
    <t xml:space="preserve">End</t>
  </si>
  <si>
    <t xml:space="preserve">Working Days</t>
  </si>
  <si>
    <t xml:space="preserve">Phase 1 — Foundation</t>
  </si>
  <si>
    <t xml:space="preserve">Project setup &amp; database schema</t>
  </si>
  <si>
    <t xml:space="preserve">Security foundation (JWT, request filter)</t>
  </si>
  <si>
    <t xml:space="preserve">Phase 2 — Collaborators</t>
  </si>
  <si>
    <t xml:space="preserve">Authentication (development mode)</t>
  </si>
  <si>
    <t xml:space="preserve">Collaborator account management</t>
  </si>
  <si>
    <t xml:space="preserve">Phase 3 — Card &amp; QR</t>
  </si>
  <si>
    <t xml:space="preserve">Business card module</t>
  </si>
  <si>
    <t xml:space="preserve">QR code module &amp; public card page</t>
  </si>
  <si>
    <t xml:space="preserve">Phase 4 — Products</t>
  </si>
  <si>
    <t xml:space="preserve">Product catalogue &amp; PDF documents</t>
  </si>
  <si>
    <t xml:space="preserve">Approval workflow</t>
  </si>
  <si>
    <t xml:space="preserve">Share Products (booklet)</t>
  </si>
  <si>
    <t xml:space="preserve">Phase 5 — Integration</t>
  </si>
  <si>
    <t xml:space="preserve">Active Directory integration</t>
  </si>
  <si>
    <t xml:space="preserve">Automated testing</t>
  </si>
  <si>
    <t xml:space="preserve">Phase 6 — Hardening &amp; Launch</t>
  </si>
  <si>
    <t xml:space="preserve">Security review &amp; rate limiting</t>
  </si>
  <si>
    <t xml:space="preserve">Deployment preparation</t>
  </si>
  <si>
    <t xml:space="preserve">User acceptance testing &amp; go-live</t>
  </si>
  <si>
    <t xml:space="preserve">Project start</t>
  </si>
  <si>
    <t xml:space="preserve">Project finish</t>
  </si>
  <si>
    <t xml:space="preserve">Total working days (elapsed)</t>
  </si>
  <si>
    <t xml:space="preserve">Assumptions</t>
  </si>
  <si>
    <t xml:space="preserve">• Assumes one developer allocated full-time to this project from 15 September 2026.</t>
  </si>
  <si>
    <t xml:space="preserve">• Active Directory integration depends on IT supplying the LDAPS endpoint, a directory service account and the search base. Development-mode login lets all other work proceed in parallel if this is delayed.</t>
  </si>
  <si>
    <t xml:space="preserve">• The public card page must be reachable from outside the bank network; this requires infrastructure provisioning and an information security review, which should start immediately as it may run longer than the development work.</t>
  </si>
  <si>
    <t xml:space="preserve">• Card and product booklet visual designs to be signed off by the business before the relevant milestone completes.</t>
  </si>
  <si>
    <t xml:space="preserve">• Estimates are for backend development only; front-end/mobile work is tracked separately.</t>
  </si>
  <si>
    <t xml:space="preserve">• Dates entered manually; Working Days is calculated and excludes weekends.</t>
  </si>
  <si>
    <t xml:space="preserve">Feature Explanations</t>
  </si>
  <si>
    <t xml:space="preserve">What each item on the Timeline sheet actually covers.</t>
  </si>
  <si>
    <t xml:space="preserve">What it includes</t>
  </si>
  <si>
    <t xml:space="preserve">Depends on</t>
  </si>
  <si>
    <t xml:space="preserve">Create the Spring Boot project and build the three database tables: Collaborator, Product and Booklet, plus the audit log and token tables. Includes the migration scripts that create them automatically on first run.</t>
  </si>
  <si>
    <t xml:space="preserve">None — this is the starting point.</t>
  </si>
  <si>
    <t xml:space="preserve">The login token system. Issues a signed token when someone logs in, checks it on every following request, and supports logout by revoking the token. Also sets up the two admin levels (collaborator admin and product admin).</t>
  </si>
  <si>
    <t xml:space="preserve">Database schema.</t>
  </si>
  <si>
    <t xml:space="preserve">Login using local test accounts so every other feature can be built and tested before Active Directory access is granted. Designed so that switching to Active Directory later changes one component and nothing else.</t>
  </si>
  <si>
    <t xml:space="preserve">Security foundation.</t>
  </si>
  <si>
    <t xml:space="preserve">Everything admins do with accounts: search the directory for a person, create their record, edit their details, grant or revoke admin rights, deactivate leavers, and re-link an account if IT rebuilds it. Includes the profile screen data each collaborator sees about themselves.</t>
  </si>
  <si>
    <t xml:space="preserve">Authentication.</t>
  </si>
  <si>
    <t xml:space="preserve">Storing and serving the digital business card. The app renders the card visually and sends the image; the backend saves it and serves it back on request. Includes automatically clearing a card when someone's name, role or department changes, so it gets re-rendered with correct details.</t>
  </si>
  <si>
    <t xml:space="preserve">Collaborator account management.</t>
  </si>
  <si>
    <t xml:space="preserve">Generates each collaborator's QR code and the public web page that opens when someone scans it. The page works without login and from outside the bank network, shows the card, and counts scans. Deactivated collaborators' cards stop resolving.</t>
  </si>
  <si>
    <t xml:space="preserve">Business card module.</t>
  </si>
  <si>
    <t xml:space="preserve">The bank product catalogue: create, edit, list and retire products, grouped by category. Each product carries one PDF document that collaborators can open and share.</t>
  </si>
  <si>
    <t xml:space="preserve">The review step before a product becomes visible. A collaborator submits a product; a product admin — who cannot be the same person — approves or rejects it. Only approved products appear to collaborators.</t>
  </si>
  <si>
    <t xml:space="preserve">Product catalogue.</t>
  </si>
  <si>
    <t xml:space="preserve">The Share Products button beneath Share QR Code. Stores a single rendered image of the current approved product list and serves it to any collaborator who wants to share it.</t>
  </si>
  <si>
    <t xml:space="preserve">Approval workflow.</t>
  </si>
  <si>
    <t xml:space="preserve">Replaces development-mode login with the bank's real Active Directory. Collaborators sign in with their normal domain credentials; no new passwords are created or stored by this system.</t>
  </si>
  <si>
    <t xml:space="preserve">IT must first supply the directory connection details (see Assumptions).</t>
  </si>
  <si>
    <t xml:space="preserve">Automated tests covering each module, so future changes can be made without manually re-checking everything. Includes tests for the permission rules, which are the easiest thing to break silently.</t>
  </si>
  <si>
    <t xml:space="preserve">All features complete.</t>
  </si>
  <si>
    <t xml:space="preserve">Reviewing the public card page for abuse protection, confirming file upload validation, and checking dependencies for known vulnerabilities. The public page is the only part reachable from outside the bank.</t>
  </si>
  <si>
    <t xml:space="preserve">Production configuration, file storage setup, backup procedure for uploaded files, and creating the first administrator account.</t>
  </si>
  <si>
    <t xml:space="preserve">Security review; infrastructure provisioned.</t>
  </si>
  <si>
    <t xml:space="preserve">Business users test the system against real expectations, issues are fixed, and the system goes live.</t>
  </si>
  <si>
    <t xml:space="preserve">Everything above.</t>
  </si>
</sst>
</file>

<file path=xl/styles.xml><?xml version="1.0" encoding="utf-8"?>
<styleSheet xmlns="http://schemas.openxmlformats.org/spreadsheetml/2006/main">
  <numFmts count="3">
    <numFmt numFmtId="164" formatCode="General"/>
    <numFmt numFmtId="165" formatCode="dd\-mmm\-yyyy"/>
    <numFmt numFmtId="166"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55555"/>
      <name val="Arial"/>
      <family val="0"/>
      <charset val="1"/>
    </font>
    <font>
      <b val="true"/>
      <sz val="11"/>
      <color rgb="FFFFFFFF"/>
      <name val="Arial"/>
      <family val="0"/>
      <charset val="1"/>
    </font>
    <font>
      <b val="true"/>
      <sz val="10"/>
      <name val="Arial"/>
      <family val="0"/>
      <charset val="1"/>
    </font>
    <font>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2F3"/>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5" fontId="8" fillId="3" borderId="1" xfId="0" applyFont="true" applyBorder="true" applyAlignment="true" applyProtection="false">
      <alignment horizontal="general" vertical="top" textRotation="0" wrapText="false" indent="0" shrinkToFit="false"/>
      <protection locked="true" hidden="false"/>
    </xf>
    <xf numFmtId="166" fontId="8" fillId="3"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5" min="3" style="0" width="14"/>
  </cols>
  <sheetData>
    <row r="1" customFormat="false" ht="17.35"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c r="B4" s="3" t="s">
        <v>3</v>
      </c>
      <c r="C4" s="3" t="s">
        <v>4</v>
      </c>
      <c r="D4" s="3" t="s">
        <v>5</v>
      </c>
      <c r="E4" s="3" t="s">
        <v>6</v>
      </c>
    </row>
    <row r="5" customFormat="false" ht="15" hidden="false" customHeight="false" outlineLevel="0" collapsed="false">
      <c r="A5" s="4" t="s">
        <v>7</v>
      </c>
      <c r="B5" s="5" t="s">
        <v>8</v>
      </c>
      <c r="C5" s="6" t="n">
        <v>46280</v>
      </c>
      <c r="D5" s="6" t="n">
        <v>46282</v>
      </c>
      <c r="E5" s="7" t="n">
        <f aca="false">NETWORKDAYS(C5,D5)</f>
        <v>3</v>
      </c>
    </row>
    <row r="6" customFormat="false" ht="15" hidden="false" customHeight="false" outlineLevel="0" collapsed="false">
      <c r="A6" s="8"/>
      <c r="B6" s="9" t="s">
        <v>9</v>
      </c>
      <c r="C6" s="10" t="n">
        <v>46283</v>
      </c>
      <c r="D6" s="10" t="n">
        <v>46286</v>
      </c>
      <c r="E6" s="11" t="n">
        <f aca="false">NETWORKDAYS(C6,D6)</f>
        <v>2</v>
      </c>
    </row>
    <row r="7" customFormat="false" ht="15" hidden="false" customHeight="false" outlineLevel="0" collapsed="false">
      <c r="A7" s="4" t="s">
        <v>10</v>
      </c>
      <c r="B7" s="5" t="s">
        <v>11</v>
      </c>
      <c r="C7" s="6" t="n">
        <v>46287</v>
      </c>
      <c r="D7" s="6" t="n">
        <v>46288</v>
      </c>
      <c r="E7" s="7" t="n">
        <f aca="false">NETWORKDAYS(C7,D7)</f>
        <v>2</v>
      </c>
    </row>
    <row r="8" customFormat="false" ht="15" hidden="false" customHeight="false" outlineLevel="0" collapsed="false">
      <c r="A8" s="8"/>
      <c r="B8" s="9" t="s">
        <v>12</v>
      </c>
      <c r="C8" s="10" t="n">
        <v>46289</v>
      </c>
      <c r="D8" s="10" t="n">
        <v>46293</v>
      </c>
      <c r="E8" s="11" t="n">
        <f aca="false">NETWORKDAYS(C8,D8)</f>
        <v>3</v>
      </c>
    </row>
    <row r="9" customFormat="false" ht="15" hidden="false" customHeight="false" outlineLevel="0" collapsed="false">
      <c r="A9" s="4" t="s">
        <v>13</v>
      </c>
      <c r="B9" s="5" t="s">
        <v>14</v>
      </c>
      <c r="C9" s="6" t="n">
        <v>46294</v>
      </c>
      <c r="D9" s="6" t="n">
        <v>46297</v>
      </c>
      <c r="E9" s="7" t="n">
        <f aca="false">NETWORKDAYS(C9,D9)</f>
        <v>4</v>
      </c>
    </row>
    <row r="10" customFormat="false" ht="15" hidden="false" customHeight="false" outlineLevel="0" collapsed="false">
      <c r="A10" s="8"/>
      <c r="B10" s="9" t="s">
        <v>15</v>
      </c>
      <c r="C10" s="10" t="n">
        <v>46300</v>
      </c>
      <c r="D10" s="10" t="n">
        <v>46302</v>
      </c>
      <c r="E10" s="11" t="n">
        <f aca="false">NETWORKDAYS(C10,D10)</f>
        <v>3</v>
      </c>
    </row>
    <row r="11" customFormat="false" ht="15" hidden="false" customHeight="false" outlineLevel="0" collapsed="false">
      <c r="A11" s="4" t="s">
        <v>16</v>
      </c>
      <c r="B11" s="5" t="s">
        <v>17</v>
      </c>
      <c r="C11" s="6" t="n">
        <v>46303</v>
      </c>
      <c r="D11" s="6" t="n">
        <v>46308</v>
      </c>
      <c r="E11" s="7" t="n">
        <f aca="false">NETWORKDAYS(C11,D11)</f>
        <v>4</v>
      </c>
    </row>
    <row r="12" customFormat="false" ht="15" hidden="false" customHeight="false" outlineLevel="0" collapsed="false">
      <c r="A12" s="8"/>
      <c r="B12" s="9" t="s">
        <v>18</v>
      </c>
      <c r="C12" s="10" t="n">
        <v>46309</v>
      </c>
      <c r="D12" s="10" t="n">
        <v>46311</v>
      </c>
      <c r="E12" s="11" t="n">
        <f aca="false">NETWORKDAYS(C12,D12)</f>
        <v>3</v>
      </c>
    </row>
    <row r="13" customFormat="false" ht="15" hidden="false" customHeight="false" outlineLevel="0" collapsed="false">
      <c r="A13" s="8"/>
      <c r="B13" s="9" t="s">
        <v>19</v>
      </c>
      <c r="C13" s="10" t="n">
        <v>46314</v>
      </c>
      <c r="D13" s="10" t="n">
        <v>46315</v>
      </c>
      <c r="E13" s="11" t="n">
        <f aca="false">NETWORKDAYS(C13,D13)</f>
        <v>2</v>
      </c>
    </row>
    <row r="14" customFormat="false" ht="15" hidden="false" customHeight="false" outlineLevel="0" collapsed="false">
      <c r="A14" s="4" t="s">
        <v>20</v>
      </c>
      <c r="B14" s="5" t="s">
        <v>21</v>
      </c>
      <c r="C14" s="6" t="n">
        <v>46314</v>
      </c>
      <c r="D14" s="6" t="n">
        <v>46316</v>
      </c>
      <c r="E14" s="7" t="n">
        <f aca="false">NETWORKDAYS(C14,D14)</f>
        <v>3</v>
      </c>
    </row>
    <row r="15" customFormat="false" ht="15" hidden="false" customHeight="false" outlineLevel="0" collapsed="false">
      <c r="A15" s="8"/>
      <c r="B15" s="9" t="s">
        <v>22</v>
      </c>
      <c r="C15" s="10" t="n">
        <v>46315</v>
      </c>
      <c r="D15" s="10" t="n">
        <v>46317</v>
      </c>
      <c r="E15" s="11" t="n">
        <f aca="false">NETWORKDAYS(C15,D15)</f>
        <v>3</v>
      </c>
    </row>
    <row r="16" customFormat="false" ht="15" hidden="false" customHeight="false" outlineLevel="0" collapsed="false">
      <c r="A16" s="4" t="s">
        <v>23</v>
      </c>
      <c r="B16" s="5" t="s">
        <v>24</v>
      </c>
      <c r="C16" s="6" t="n">
        <v>46317</v>
      </c>
      <c r="D16" s="6" t="n">
        <v>46318</v>
      </c>
      <c r="E16" s="7" t="n">
        <f aca="false">NETWORKDAYS(C16,D16)</f>
        <v>2</v>
      </c>
    </row>
    <row r="17" customFormat="false" ht="15" hidden="false" customHeight="false" outlineLevel="0" collapsed="false">
      <c r="A17" s="8"/>
      <c r="B17" s="9" t="s">
        <v>25</v>
      </c>
      <c r="C17" s="10" t="n">
        <v>46318</v>
      </c>
      <c r="D17" s="10" t="n">
        <v>46318</v>
      </c>
      <c r="E17" s="11" t="n">
        <f aca="false">NETWORKDAYS(C17,D17)</f>
        <v>1</v>
      </c>
    </row>
    <row r="18" customFormat="false" ht="15" hidden="false" customHeight="false" outlineLevel="0" collapsed="false">
      <c r="A18" s="8"/>
      <c r="B18" s="9" t="s">
        <v>26</v>
      </c>
      <c r="C18" s="10" t="n">
        <v>46321</v>
      </c>
      <c r="D18" s="10" t="n">
        <v>46322</v>
      </c>
      <c r="E18" s="11" t="n">
        <f aca="false">NETWORKDAYS(C18,D18)</f>
        <v>2</v>
      </c>
    </row>
    <row r="20" customFormat="false" ht="15" hidden="false" customHeight="false" outlineLevel="0" collapsed="false">
      <c r="B20" s="12" t="s">
        <v>27</v>
      </c>
      <c r="C20" s="13" t="n">
        <f aca="false">MIN(C5:C18)</f>
        <v>46280</v>
      </c>
    </row>
    <row r="21" customFormat="false" ht="15" hidden="false" customHeight="false" outlineLevel="0" collapsed="false">
      <c r="B21" s="12" t="s">
        <v>28</v>
      </c>
      <c r="C21" s="13" t="n">
        <f aca="false">MAX(D5:D18)</f>
        <v>46322</v>
      </c>
    </row>
    <row r="22" customFormat="false" ht="15" hidden="false" customHeight="false" outlineLevel="0" collapsed="false">
      <c r="B22" s="12" t="s">
        <v>29</v>
      </c>
      <c r="C22" s="14" t="n">
        <f aca="false">NETWORKDAYS(MIN(C5:C18),MAX(D5:D18))</f>
        <v>31</v>
      </c>
    </row>
    <row r="24" customFormat="false" ht="15" hidden="false" customHeight="false" outlineLevel="0" collapsed="false">
      <c r="A24" s="12" t="s">
        <v>30</v>
      </c>
    </row>
    <row r="25" customFormat="false" ht="27.75" hidden="false" customHeight="true" outlineLevel="0" collapsed="false">
      <c r="A25" s="15" t="s">
        <v>31</v>
      </c>
      <c r="B25" s="15"/>
      <c r="C25" s="15"/>
      <c r="D25" s="15"/>
      <c r="E25" s="15"/>
    </row>
    <row r="26" customFormat="false" ht="27.75" hidden="false" customHeight="true" outlineLevel="0" collapsed="false">
      <c r="A26" s="15" t="s">
        <v>32</v>
      </c>
      <c r="B26" s="15"/>
      <c r="C26" s="15"/>
      <c r="D26" s="15"/>
      <c r="E26" s="15"/>
    </row>
    <row r="27" customFormat="false" ht="27.75" hidden="false" customHeight="true" outlineLevel="0" collapsed="false">
      <c r="A27" s="15" t="s">
        <v>33</v>
      </c>
      <c r="B27" s="15"/>
      <c r="C27" s="15"/>
      <c r="D27" s="15"/>
      <c r="E27" s="15"/>
    </row>
    <row r="28" customFormat="false" ht="27.75" hidden="false" customHeight="true" outlineLevel="0" collapsed="false">
      <c r="A28" s="15" t="s">
        <v>34</v>
      </c>
      <c r="B28" s="15"/>
      <c r="C28" s="15"/>
      <c r="D28" s="15"/>
      <c r="E28" s="15"/>
    </row>
    <row r="29" customFormat="false" ht="27.75" hidden="false" customHeight="true" outlineLevel="0" collapsed="false">
      <c r="A29" s="15" t="s">
        <v>35</v>
      </c>
      <c r="B29" s="15"/>
      <c r="C29" s="15"/>
      <c r="D29" s="15"/>
      <c r="E29" s="15"/>
    </row>
    <row r="30" customFormat="false" ht="27.75" hidden="false" customHeight="true" outlineLevel="0" collapsed="false">
      <c r="A30" s="15" t="s">
        <v>36</v>
      </c>
      <c r="B30" s="15"/>
      <c r="C30" s="15"/>
      <c r="D30" s="15"/>
      <c r="E30" s="15"/>
    </row>
  </sheetData>
  <mergeCells count="8">
    <mergeCell ref="A1:E1"/>
    <mergeCell ref="A2:E2"/>
    <mergeCell ref="A25:E25"/>
    <mergeCell ref="A26:E26"/>
    <mergeCell ref="A27:E27"/>
    <mergeCell ref="A28:E28"/>
    <mergeCell ref="A29:E29"/>
    <mergeCell ref="A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8"/>
    <col collapsed="false" customWidth="true" hidden="false" outlineLevel="0" max="3" min="3" style="0" width="34"/>
  </cols>
  <sheetData>
    <row r="1" customFormat="false" ht="17.35" hidden="false" customHeight="false" outlineLevel="0" collapsed="false">
      <c r="A1" s="1" t="s">
        <v>37</v>
      </c>
      <c r="B1" s="1"/>
      <c r="C1" s="1"/>
    </row>
    <row r="2" customFormat="false" ht="15" hidden="false" customHeight="false" outlineLevel="0" collapsed="false">
      <c r="A2" s="2" t="s">
        <v>38</v>
      </c>
      <c r="B2" s="2"/>
      <c r="C2" s="2"/>
    </row>
    <row r="4" customFormat="false" ht="15" hidden="false" customHeight="false" outlineLevel="0" collapsed="false">
      <c r="A4" s="3" t="s">
        <v>3</v>
      </c>
      <c r="B4" s="3" t="s">
        <v>39</v>
      </c>
      <c r="C4" s="3" t="s">
        <v>40</v>
      </c>
    </row>
    <row r="5" customFormat="false" ht="60" hidden="false" customHeight="true" outlineLevel="0" collapsed="false">
      <c r="A5" s="16" t="s">
        <v>8</v>
      </c>
      <c r="B5" s="17" t="s">
        <v>41</v>
      </c>
      <c r="C5" s="17" t="s">
        <v>42</v>
      </c>
    </row>
    <row r="6" customFormat="false" ht="60" hidden="false" customHeight="true" outlineLevel="0" collapsed="false">
      <c r="A6" s="16" t="s">
        <v>9</v>
      </c>
      <c r="B6" s="17" t="s">
        <v>43</v>
      </c>
      <c r="C6" s="17" t="s">
        <v>44</v>
      </c>
    </row>
    <row r="7" customFormat="false" ht="60" hidden="false" customHeight="true" outlineLevel="0" collapsed="false">
      <c r="A7" s="16" t="s">
        <v>11</v>
      </c>
      <c r="B7" s="17" t="s">
        <v>45</v>
      </c>
      <c r="C7" s="17" t="s">
        <v>46</v>
      </c>
    </row>
    <row r="8" customFormat="false" ht="60" hidden="false" customHeight="true" outlineLevel="0" collapsed="false">
      <c r="A8" s="16" t="s">
        <v>12</v>
      </c>
      <c r="B8" s="17" t="s">
        <v>47</v>
      </c>
      <c r="C8" s="17" t="s">
        <v>48</v>
      </c>
    </row>
    <row r="9" customFormat="false" ht="60" hidden="false" customHeight="true" outlineLevel="0" collapsed="false">
      <c r="A9" s="16" t="s">
        <v>14</v>
      </c>
      <c r="B9" s="17" t="s">
        <v>49</v>
      </c>
      <c r="C9" s="17" t="s">
        <v>50</v>
      </c>
    </row>
    <row r="10" customFormat="false" ht="60" hidden="false" customHeight="true" outlineLevel="0" collapsed="false">
      <c r="A10" s="16" t="s">
        <v>15</v>
      </c>
      <c r="B10" s="17" t="s">
        <v>51</v>
      </c>
      <c r="C10" s="17" t="s">
        <v>52</v>
      </c>
    </row>
    <row r="11" customFormat="false" ht="60" hidden="false" customHeight="true" outlineLevel="0" collapsed="false">
      <c r="A11" s="16" t="s">
        <v>17</v>
      </c>
      <c r="B11" s="17" t="s">
        <v>53</v>
      </c>
      <c r="C11" s="17" t="s">
        <v>50</v>
      </c>
    </row>
    <row r="12" customFormat="false" ht="60" hidden="false" customHeight="true" outlineLevel="0" collapsed="false">
      <c r="A12" s="16" t="s">
        <v>18</v>
      </c>
      <c r="B12" s="17" t="s">
        <v>54</v>
      </c>
      <c r="C12" s="17" t="s">
        <v>55</v>
      </c>
    </row>
    <row r="13" customFormat="false" ht="60" hidden="false" customHeight="true" outlineLevel="0" collapsed="false">
      <c r="A13" s="16" t="s">
        <v>19</v>
      </c>
      <c r="B13" s="17" t="s">
        <v>56</v>
      </c>
      <c r="C13" s="17" t="s">
        <v>57</v>
      </c>
    </row>
    <row r="14" customFormat="false" ht="60" hidden="false" customHeight="true" outlineLevel="0" collapsed="false">
      <c r="A14" s="16" t="s">
        <v>21</v>
      </c>
      <c r="B14" s="17" t="s">
        <v>58</v>
      </c>
      <c r="C14" s="17" t="s">
        <v>59</v>
      </c>
    </row>
    <row r="15" customFormat="false" ht="60" hidden="false" customHeight="true" outlineLevel="0" collapsed="false">
      <c r="A15" s="16" t="s">
        <v>22</v>
      </c>
      <c r="B15" s="17" t="s">
        <v>60</v>
      </c>
      <c r="C15" s="17" t="s">
        <v>61</v>
      </c>
    </row>
    <row r="16" customFormat="false" ht="60" hidden="false" customHeight="true" outlineLevel="0" collapsed="false">
      <c r="A16" s="16" t="s">
        <v>24</v>
      </c>
      <c r="B16" s="17" t="s">
        <v>62</v>
      </c>
      <c r="C16" s="17" t="s">
        <v>61</v>
      </c>
    </row>
    <row r="17" customFormat="false" ht="60" hidden="false" customHeight="true" outlineLevel="0" collapsed="false">
      <c r="A17" s="16" t="s">
        <v>25</v>
      </c>
      <c r="B17" s="17" t="s">
        <v>63</v>
      </c>
      <c r="C17" s="17" t="s">
        <v>64</v>
      </c>
    </row>
    <row r="18" customFormat="false" ht="60" hidden="false" customHeight="true" outlineLevel="0" collapsed="false">
      <c r="A18" s="16" t="s">
        <v>26</v>
      </c>
      <c r="B18" s="17" t="s">
        <v>65</v>
      </c>
      <c r="C18" s="17" t="s">
        <v>66</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2026-09-15T16:51:01Z</dcterms:created>
  <dc:creator>openpyxl</dc:creator>
  <dc:description/>
  <dc:language>en-US</dc:language>
  <cp:lastModifiedBy/>
  <dcterms:modified xsi:type="dcterms:W3CDTF">2026-09-15T16:51:01Z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